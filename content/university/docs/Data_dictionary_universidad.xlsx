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EBASTIAN SANCHEZ\Downloads\"/>
    </mc:Choice>
  </mc:AlternateContent>
  <xr:revisionPtr revIDLastSave="0" documentId="13_ncr:1_{596829DB-C8BA-470B-BB92-70B10236B5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DICTIONARY" sheetId="1" r:id="rId1"/>
    <sheet name="FACULTIES" sheetId="2" r:id="rId2"/>
    <sheet name="ROLES" sheetId="3" r:id="rId3"/>
    <sheet name="BUILDINGS" sheetId="4" r:id="rId4"/>
    <sheet name="SCHEDULES" sheetId="5" r:id="rId5"/>
    <sheet name="PROGRAMS" sheetId="6" r:id="rId6"/>
    <sheet name="CLASSROOMS" sheetId="7" r:id="rId7"/>
    <sheet name="COURSES" sheetId="8" r:id="rId8"/>
    <sheet name="USERS" sheetId="9" r:id="rId9"/>
    <sheet name="COURSE_OFFERINGS" sheetId="10" r:id="rId10"/>
    <sheet name="PROGRAMS_COURSES" sheetId="11" r:id="rId11"/>
    <sheet name="PROGRAMS_STUDENTS" sheetId="12" r:id="rId12"/>
    <sheet name="ENROLLMENT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1" l="1"/>
  <c r="F26" i="1"/>
  <c r="F25" i="1"/>
  <c r="F24" i="1"/>
  <c r="F23" i="1"/>
  <c r="F22" i="1"/>
  <c r="F21" i="1"/>
  <c r="F20" i="1"/>
  <c r="F19" i="1"/>
  <c r="F18" i="1"/>
  <c r="F17" i="1"/>
  <c r="F16" i="1"/>
</calcChain>
</file>

<file path=xl/sharedStrings.xml><?xml version="1.0" encoding="utf-8"?>
<sst xmlns="http://schemas.openxmlformats.org/spreadsheetml/2006/main" count="381" uniqueCount="170">
  <si>
    <t>Sistema de Universidad</t>
  </si>
  <si>
    <t>Catálogo de Datos - Información General</t>
  </si>
  <si>
    <t>Descripción</t>
  </si>
  <si>
    <t>Este catálogo de datos detalla la estructura de la base de datos relacional diseñada para gestionar la información de una universidad, incluyendo facultades, programas, edificios, salones, usuarios y más. El diseño sigue las normas de normalización hasta la Cuarta Forma Normal (4FN) para garantizar la integridad y optimización de los datos.</t>
  </si>
  <si>
    <t>Propósito</t>
  </si>
  <si>
    <t>Facilitar el almacenamiento, la organización y el acceso eficiente a la información sobre la universidad, permitiendo realizar consultas detalladas sobre facultades, programas, edificios, salones, usuarios, cursos, matrículas, horarios y roles.</t>
  </si>
  <si>
    <t>Fecha de Creación</t>
  </si>
  <si>
    <t>11 de mayo del 2026</t>
  </si>
  <si>
    <t>Creado por</t>
  </si>
  <si>
    <t>Última Actualización</t>
  </si>
  <si>
    <t>Versión</t>
  </si>
  <si>
    <t>1.0</t>
  </si>
  <si>
    <t>Estructura de la Base de Datos</t>
  </si>
  <si>
    <t>Tablas Principales</t>
  </si>
  <si>
    <t>Representan las entidades claves del sistema: USERS, PROGRAMS, COURSES, CLASSROOMS y COURSE_OFFERINGS. Cada tabla tiene un identificador único (PK) para asegurar la integridad.</t>
  </si>
  <si>
    <t>Tablas de Referencia</t>
  </si>
  <si>
    <t>Tablas auxiliares como FACULTIES, ROLES, BUILDINGS y SCHEDULES, que ofrecen contexto adicional y son referenciadas por las tablas principales.</t>
  </si>
  <si>
    <t>Tablas Intermedias</t>
  </si>
  <si>
    <t>La tabla PROGRAMS_STUDENTS (muchos-a-muchos entre USERS y PROGRAMS), PROGRAMS_COURSES (entre COURSES y PROGRAMS con semestre curricular) y ENROLLMENTS (entre COURSE_OFFERINGS y USERS estudiantes).</t>
  </si>
  <si>
    <t>Relaciones</t>
  </si>
  <si>
    <t>Las claves foráneas (FK) en cada tabla definen las relaciones entre entidades, garantizando la integridad referencial y minimizando redundancias.</t>
  </si>
  <si>
    <t>Data Mapping - Catálogo</t>
  </si>
  <si>
    <t>Tabla</t>
  </si>
  <si>
    <t>Hipervínculo</t>
  </si>
  <si>
    <t>ROLES</t>
  </si>
  <si>
    <t>Catálogo de roles del sistema. Define el tipo de acceso de cada usuario (Student, Professor, Admin).</t>
  </si>
  <si>
    <t>BUILDINGS</t>
  </si>
  <si>
    <t>Almacena los edificios del campus, incluyendo su nombre. Es la entidad padre de CLASSROOMS.</t>
  </si>
  <si>
    <t>SCHEDULES</t>
  </si>
  <si>
    <t>Contiene las franjas horarias disponibles para los cursos, con día, hora de inicio y hora de fin.</t>
  </si>
  <si>
    <t>FACULTIES</t>
  </si>
  <si>
    <t>Almacena las facultades de la universidad. Referenciada por PROGRAMS y COURSES.</t>
  </si>
  <si>
    <t>CLASSROOMS</t>
  </si>
  <si>
    <t>Almacena los salones y laboratorios del campus, asociados a un edificio.</t>
  </si>
  <si>
    <t>PROGRAMS</t>
  </si>
  <si>
    <t>Almacena los programas académicos (carreras), cada uno vinculado a una facultad.</t>
  </si>
  <si>
    <t>COURSES</t>
  </si>
  <si>
    <t>Catálogo maestro de asignaturas. Cada curso pertenece a una facultad.</t>
  </si>
  <si>
    <t>USERS</t>
  </si>
  <si>
    <t>Registra todos los usuarios del sistema: estudiantes, profesores y administradores.</t>
  </si>
  <si>
    <t>COURSE_OFFERINGS</t>
  </si>
  <si>
    <t>Tabla central operativa. Asocia un curso, un horario, un aula y un profesor en una sección matriculable.</t>
  </si>
  <si>
    <t>PROGRAMS_COURSES</t>
  </si>
  <si>
    <t>Tabla intermedia N:M. Define el pensum de cada programa: qué cursos lo componen y en qué semestre.</t>
  </si>
  <si>
    <t>PROGRAMS_STUDENTS</t>
  </si>
  <si>
    <t>Tabla intermedia N:M. Registra qué estudiantes están matriculados en qué programas y su semestre actual.</t>
  </si>
  <si>
    <t>ENROLLMENTS</t>
  </si>
  <si>
    <t>Tabla de matrícula. Registra qué estudiantes están inscritos en qué sección de curso.</t>
  </si>
  <si>
    <t>Notas Importantes</t>
  </si>
  <si>
    <t>1. Tamaño de los Campos: Los tamaños se definieron en base a necesidades prácticas. VARCHAR(100) para nombres, VARCHAR(150) para emails, VARCHAR(50) para nombres cortos.</t>
  </si>
  <si>
    <t>2. Estandarización de Tipos: Se utilizaron tipos nativos de PostgreSQL (SERIAL, TIME, ENUM) para garantizar integridad y rendimiento.</t>
  </si>
  <si>
    <t>3. Integridad Referencial: Todas las claves foráneas tienen sus índices correspondientes para optimizar los JOINs.</t>
  </si>
  <si>
    <t>4. Normalización: El modelo se encuentra normalizado hasta la Cuarta Forma Normal (4FN).</t>
  </si>
  <si>
    <t>5. Datos limpios: El campo first_name de profesores requiere eliminación del prefijo 'Prof.' antes de la carga.</t>
  </si>
  <si>
    <t>university.faculties</t>
  </si>
  <si>
    <t>Catálogo de facultades de la institución. Entidad raíz referenciada por PROGRAMS y COURSES.</t>
  </si>
  <si>
    <t>Campo</t>
  </si>
  <si>
    <t>Tipo de Dato</t>
  </si>
  <si>
    <t>Tamaño</t>
  </si>
  <si>
    <t>Restricción</t>
  </si>
  <si>
    <t>Origen CSV</t>
  </si>
  <si>
    <t>faculty_id</t>
  </si>
  <si>
    <t>SERIAL (INT)</t>
  </si>
  <si>
    <t>-</t>
  </si>
  <si>
    <t>PK · NOT NULL</t>
  </si>
  <si>
    <t>Identificador único secuencial de la facultad, generado automáticamente.</t>
  </si>
  <si>
    <t>[seed manual]</t>
  </si>
  <si>
    <t>name</t>
  </si>
  <si>
    <t>VARCHAR(100)</t>
  </si>
  <si>
    <t>100</t>
  </si>
  <si>
    <t>NOT NULL</t>
  </si>
  <si>
    <t>Nombre oficial de la facultad (ej. Facultad de Ingeniería).</t>
  </si>
  <si>
    <t>university.roles</t>
  </si>
  <si>
    <t>Catálogo de roles del sistema. Determina el tipo de acceso y comportamiento de cada usuario.</t>
  </si>
  <si>
    <t>role_id</t>
  </si>
  <si>
    <t>Identificador único del rol. Valores esperados: 1=Student, 2=Professor, 3=Admin.</t>
  </si>
  <si>
    <t>VARCHAR(50)</t>
  </si>
  <si>
    <t>50</t>
  </si>
  <si>
    <t>Nombre descriptivo del rol: Student, Professor o Admin.</t>
  </si>
  <si>
    <t>university.buildings</t>
  </si>
  <si>
    <t>Catálogo de edificios físicos del campus. Entidad padre de CLASSROOMS.</t>
  </si>
  <si>
    <t>building_id</t>
  </si>
  <si>
    <t>Identificador único del edificio.</t>
  </si>
  <si>
    <t>Nombre o código del bloque (ej. Bloque A - Ingenierías).</t>
  </si>
  <si>
    <t>university.schedules</t>
  </si>
  <si>
    <t>Catálogo de franjas horarias disponibles. Define bloques de 2 horas de lunes a viernes.</t>
  </si>
  <si>
    <t>schedule_id</t>
  </si>
  <si>
    <t>Identificador único de la franja horaria.</t>
  </si>
  <si>
    <t>day</t>
  </si>
  <si>
    <t>ENUM days_of_week</t>
  </si>
  <si>
    <t>Día de la semana: Monday, Tuesday, Wednesday, Thursday, Friday, Saturday, Sunday.</t>
  </si>
  <si>
    <t>start_time</t>
  </si>
  <si>
    <t>TIME</t>
  </si>
  <si>
    <t>Hora de inicio del bloque en formato HH:MM (ej. 07:00, 09:00).</t>
  </si>
  <si>
    <t>end_time</t>
  </si>
  <si>
    <t>NOT NULL · CHECK &gt; start_time</t>
  </si>
  <si>
    <t>Hora de finalización del bloque. El constraint garantiza end_time &gt; start_time.</t>
  </si>
  <si>
    <t>university.programs</t>
  </si>
  <si>
    <t>Programas académicos (carreras) ofertados por la institución, agrupados por facultad.</t>
  </si>
  <si>
    <t>program_id</t>
  </si>
  <si>
    <t>Identificador único del programa académico.</t>
  </si>
  <si>
    <t>Nombre oficial del programa (ej. Ingeniería de Sistemas y Computación).</t>
  </si>
  <si>
    <t>INT</t>
  </si>
  <si>
    <t>FK → faculties · NOT NULL</t>
  </si>
  <si>
    <t>Facultad a la que pertenece el programa académico.</t>
  </si>
  <si>
    <t>university.classrooms</t>
  </si>
  <si>
    <t>Aulas, laboratorios y salas del campus. Cada espacio está asociado a un edificio.</t>
  </si>
  <si>
    <t>classroom_id</t>
  </si>
  <si>
    <t>Identificador único del aula o laboratorio.</t>
  </si>
  <si>
    <t>Nombre o código del espacio (ej. Lab-101, Aula 103, Sala TIC 2).</t>
  </si>
  <si>
    <t>FK → buildings · NOT NULL</t>
  </si>
  <si>
    <t>Edificio donde se ubica el aula. Permite agrupar espacios por bloque.</t>
  </si>
  <si>
    <t>university.courses</t>
  </si>
  <si>
    <t>Catálogo maestro de asignaturas. Cada curso pertenece a una facultad y puede integrarse en múltiples programas.</t>
  </si>
  <si>
    <t>course_id</t>
  </si>
  <si>
    <t>Identificador único de la asignatura en el catálogo académico.</t>
  </si>
  <si>
    <t>VARCHAR(150)</t>
  </si>
  <si>
    <t>150</t>
  </si>
  <si>
    <t>Nombre completo de la asignatura (ej. Cálculo Diferencial, Bases de Datos).</t>
  </si>
  <si>
    <t>Facultad que administra y dicta el curso.</t>
  </si>
  <si>
    <t>university.users</t>
  </si>
  <si>
    <t>Tabla central de personas del sistema. Unifica estudiantes, profesores y personal admin bajo una sola entidad.</t>
  </si>
  <si>
    <t>user_id</t>
  </si>
  <si>
    <t>Identificador único del usuario. Referenciado por COURSE_OFFERINGS, ENROLLMENTS y PROGRAMS_STUDENTS.</t>
  </si>
  <si>
    <t>first_name</t>
  </si>
  <si>
    <t>Nombre(s) de pila del usuario. ⚠ Los profesores en el CSV incluyen prefijo 'Prof.' que debe eliminarse.</t>
  </si>
  <si>
    <t>last_name</t>
  </si>
  <si>
    <t>Apellido(s) del usuario. Admite caracteres UTF-8 (tildes, ñ).</t>
  </si>
  <si>
    <t>email</t>
  </si>
  <si>
    <t>NOT NULL · UNIQUE</t>
  </si>
  <si>
    <t>Correo institucional. Clave de negocio alternativa para login. Debe ser único en toda la tabla.</t>
  </si>
  <si>
    <t>FK → roles · NOT NULL</t>
  </si>
  <si>
    <t>Tipo de usuario: 1=Student, 2=Professor, 3=Admin. Controla reglas de negocio y acceso.</t>
  </si>
  <si>
    <t>university.course_offerings</t>
  </si>
  <si>
    <t>Tabla central operativa. Representa una sección o grupo específico de un curso (curso + horario + aula + profesor).</t>
  </si>
  <si>
    <t>course_offering_id</t>
  </si>
  <si>
    <t>Identificador único del grupo/sección. Referenciado por ENROLLMENTS.</t>
  </si>
  <si>
    <t>FK → courses · NOT NULL</t>
  </si>
  <si>
    <t>Asignatura que se está ofertando en este grupo.</t>
  </si>
  <si>
    <t>FK → schedules · NOT NULL</t>
  </si>
  <si>
    <t>Franja horaria asignada al grupo. Determina el día y las horas de clase.</t>
  </si>
  <si>
    <t>FK → classrooms · NOT NULL</t>
  </si>
  <si>
    <t>Aula física donde se imparte el curso. Permite controlar conflictos de espacio.</t>
  </si>
  <si>
    <t>professor_id</t>
  </si>
  <si>
    <t>FK → users · NOT NULL</t>
  </si>
  <si>
    <t>Usuario con role_id=2 (Professor) que dicta la clase.</t>
  </si>
  <si>
    <t>capacity</t>
  </si>
  <si>
    <t>NOT NULL · DEFAULT 30 · CHECK &gt; 0</t>
  </si>
  <si>
    <t>Cupo máximo de estudiantes en el grupo. Validado con CHECK constraint de positivo.</t>
  </si>
  <si>
    <t>university.programs_courses</t>
  </si>
  <si>
    <t>Tabla intermedia N:M entre programas y cursos. Define el pensum de cada carrera con el semestre curricular.</t>
  </si>
  <si>
    <t>PK (compuesta) · FK → programs</t>
  </si>
  <si>
    <t>Programa académico que incluye el curso en su pensum.</t>
  </si>
  <si>
    <t>PK (compuesta) · FK → courses</t>
  </si>
  <si>
    <t>Asignatura que forma parte del programa. La PK compuesta evita duplicados.</t>
  </si>
  <si>
    <t>curriculum_semester</t>
  </si>
  <si>
    <t>NOT NULL · CHECK [1..12]</t>
  </si>
  <si>
    <t>Semestre del plan de estudios en que se ubica el curso (1–12). Permite generar la malla curricular.</t>
  </si>
  <si>
    <t>university.programs_students</t>
  </si>
  <si>
    <t>Tabla intermedia N:M entre programas y estudiantes. Registra en qué carrera está inscrito cada estudiante.</t>
  </si>
  <si>
    <t>Programa académico al que el estudiante está inscrito.</t>
  </si>
  <si>
    <t>PK (compuesta) · FK → users</t>
  </si>
  <si>
    <t>Estudiante matriculado (role_id=1). La PK compuesta impide doble matrícula en el mismo programa.</t>
  </si>
  <si>
    <t>current_semester</t>
  </si>
  <si>
    <t>Semestre que el estudiante está cursando actualmente (1–12).</t>
  </si>
  <si>
    <t>university.enrollments</t>
  </si>
  <si>
    <t>PK (compuesta) · FK → course_offerings</t>
  </si>
  <si>
    <t>Sección de curso a la que el estudiante se inscribe.</t>
  </si>
  <si>
    <t>Estudiante que se matricula (role_id=1). La PK compuesta impide matrículas duplicadas.</t>
  </si>
  <si>
    <t>Yeinner Sebastian Sanchez Suarez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</si>
</sst>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26"/>
      <color rgb="FFFFFFFF"/>
      <name val="Arial"/>
    </font>
    <font>
      <sz val="18"/>
      <color rgb="FF2E74B5"/>
      <name val="Arial"/>
    </font>
    <font>
      <b/>
      <sz val="11"/>
      <color rgb="FF000000"/>
      <name val="Arial"/>
    </font>
    <font>
      <sz val="11"/>
      <color rgb="FF000000"/>
      <name val="Arial"/>
    </font>
    <font>
      <b/>
      <sz val="13"/>
      <color rgb="FF000000"/>
      <name val="Arial"/>
    </font>
    <font>
      <sz val="11"/>
      <color rgb="FF800080"/>
      <name val="Arial"/>
    </font>
    <font>
      <b/>
      <sz val="13"/>
      <name val="Arial"/>
    </font>
    <font>
      <b/>
      <sz val="11"/>
      <name val="Arial"/>
    </font>
    <font>
      <b/>
      <sz val="16"/>
      <color rgb="FFFFFFFF"/>
      <name val="Arial"/>
    </font>
    <font>
      <i/>
      <sz val="10"/>
      <color rgb="FF595959"/>
      <name val="Arial"/>
    </font>
    <font>
      <b/>
      <sz val="11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EBF3FB"/>
      </patternFill>
    </fill>
    <fill>
      <patternFill patternType="solid">
        <fgColor rgb="FF2E74B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>
      <selection activeCell="K7" sqref="K7"/>
    </sheetView>
  </sheetViews>
  <sheetFormatPr baseColWidth="10" defaultColWidth="8.88671875" defaultRowHeight="14.4" x14ac:dyDescent="0.3"/>
  <cols>
    <col min="1" max="1" width="24" customWidth="1"/>
    <col min="2" max="8" width="12" customWidth="1"/>
  </cols>
  <sheetData>
    <row r="1" spans="1:8" ht="31.95" customHeight="1" x14ac:dyDescent="0.3">
      <c r="A1" s="27" t="s">
        <v>0</v>
      </c>
      <c r="B1" s="19"/>
      <c r="C1" s="19"/>
      <c r="D1" s="19"/>
      <c r="E1" s="19"/>
      <c r="F1" s="19"/>
      <c r="G1" s="19"/>
      <c r="H1" s="19"/>
    </row>
    <row r="2" spans="1:8" ht="24" customHeight="1" x14ac:dyDescent="0.3">
      <c r="A2" s="20" t="s">
        <v>1</v>
      </c>
      <c r="B2" s="19"/>
      <c r="C2" s="19"/>
      <c r="D2" s="19"/>
      <c r="E2" s="19"/>
      <c r="F2" s="19"/>
      <c r="G2" s="19"/>
      <c r="H2" s="19"/>
    </row>
    <row r="3" spans="1:8" ht="66" customHeight="1" x14ac:dyDescent="0.3">
      <c r="A3" s="1" t="s">
        <v>2</v>
      </c>
      <c r="B3" s="21" t="s">
        <v>3</v>
      </c>
      <c r="C3" s="19"/>
      <c r="D3" s="19"/>
      <c r="E3" s="19"/>
      <c r="F3" s="19"/>
      <c r="G3" s="19"/>
      <c r="H3" s="19"/>
    </row>
    <row r="4" spans="1:8" ht="72" customHeight="1" x14ac:dyDescent="0.3">
      <c r="A4" s="1" t="s">
        <v>4</v>
      </c>
      <c r="B4" s="21" t="s">
        <v>5</v>
      </c>
      <c r="C4" s="19"/>
      <c r="D4" s="19"/>
      <c r="E4" s="19"/>
      <c r="F4" s="19"/>
      <c r="G4" s="19"/>
      <c r="H4" s="19"/>
    </row>
    <row r="5" spans="1:8" ht="34.049999999999997" customHeight="1" x14ac:dyDescent="0.3">
      <c r="A5" s="1" t="s">
        <v>6</v>
      </c>
      <c r="B5" s="21" t="s">
        <v>7</v>
      </c>
      <c r="C5" s="19"/>
      <c r="D5" s="19"/>
      <c r="E5" s="19"/>
      <c r="F5" s="19"/>
      <c r="G5" s="19"/>
      <c r="H5" s="19"/>
    </row>
    <row r="6" spans="1:8" ht="28.05" customHeight="1" x14ac:dyDescent="0.3">
      <c r="A6" s="1" t="s">
        <v>8</v>
      </c>
      <c r="B6" s="21" t="s">
        <v>169</v>
      </c>
      <c r="C6" s="19"/>
      <c r="D6" s="19"/>
      <c r="E6" s="19"/>
      <c r="F6" s="19"/>
      <c r="G6" s="19"/>
      <c r="H6" s="19"/>
    </row>
    <row r="7" spans="1:8" ht="37.950000000000003" customHeight="1" x14ac:dyDescent="0.3">
      <c r="A7" s="1" t="s">
        <v>9</v>
      </c>
      <c r="B7" s="21" t="s">
        <v>7</v>
      </c>
      <c r="C7" s="19"/>
      <c r="D7" s="19"/>
      <c r="E7" s="19"/>
      <c r="F7" s="19"/>
      <c r="G7" s="19"/>
      <c r="H7" s="19"/>
    </row>
    <row r="8" spans="1:8" ht="16.05" customHeight="1" x14ac:dyDescent="0.3">
      <c r="A8" s="1" t="s">
        <v>10</v>
      </c>
      <c r="B8" s="21" t="s">
        <v>11</v>
      </c>
      <c r="C8" s="19"/>
      <c r="D8" s="19"/>
      <c r="E8" s="19"/>
      <c r="F8" s="19"/>
      <c r="G8" s="19"/>
      <c r="H8" s="19"/>
    </row>
    <row r="9" spans="1:8" ht="24" customHeight="1" x14ac:dyDescent="0.3">
      <c r="A9" s="20" t="s">
        <v>12</v>
      </c>
      <c r="B9" s="19"/>
      <c r="C9" s="19"/>
      <c r="D9" s="19"/>
      <c r="E9" s="19"/>
      <c r="F9" s="19"/>
      <c r="G9" s="19"/>
      <c r="H9" s="19"/>
    </row>
    <row r="10" spans="1:8" ht="49.05" customHeight="1" x14ac:dyDescent="0.3">
      <c r="A10" s="1" t="s">
        <v>13</v>
      </c>
      <c r="B10" s="21" t="s">
        <v>14</v>
      </c>
      <c r="C10" s="19"/>
      <c r="D10" s="19"/>
      <c r="E10" s="19"/>
      <c r="F10" s="19"/>
      <c r="G10" s="19"/>
      <c r="H10" s="19"/>
    </row>
    <row r="11" spans="1:8" ht="31.05" customHeight="1" x14ac:dyDescent="0.3">
      <c r="A11" s="1" t="s">
        <v>15</v>
      </c>
      <c r="B11" s="21" t="s">
        <v>16</v>
      </c>
      <c r="C11" s="19"/>
      <c r="D11" s="19"/>
      <c r="E11" s="19"/>
      <c r="F11" s="19"/>
      <c r="G11" s="19"/>
      <c r="H11" s="19"/>
    </row>
    <row r="12" spans="1:8" ht="84" customHeight="1" x14ac:dyDescent="0.3">
      <c r="A12" s="1" t="s">
        <v>17</v>
      </c>
      <c r="B12" s="21" t="s">
        <v>18</v>
      </c>
      <c r="C12" s="19"/>
      <c r="D12" s="19"/>
      <c r="E12" s="19"/>
      <c r="F12" s="19"/>
      <c r="G12" s="19"/>
      <c r="H12" s="19"/>
    </row>
    <row r="13" spans="1:8" ht="34.049999999999997" customHeight="1" x14ac:dyDescent="0.3">
      <c r="A13" s="1" t="s">
        <v>19</v>
      </c>
      <c r="B13" s="21" t="s">
        <v>20</v>
      </c>
      <c r="C13" s="19"/>
      <c r="D13" s="19"/>
      <c r="E13" s="19"/>
      <c r="F13" s="19"/>
      <c r="G13" s="19"/>
      <c r="H13" s="19"/>
    </row>
    <row r="14" spans="1:8" ht="24" customHeight="1" x14ac:dyDescent="0.3">
      <c r="A14" s="20" t="s">
        <v>21</v>
      </c>
      <c r="B14" s="19"/>
      <c r="C14" s="19"/>
      <c r="D14" s="19"/>
      <c r="E14" s="19"/>
      <c r="F14" s="19"/>
      <c r="G14" s="19"/>
      <c r="H14" s="19"/>
    </row>
    <row r="15" spans="1:8" ht="18" customHeight="1" x14ac:dyDescent="0.3">
      <c r="A15" s="2" t="s">
        <v>22</v>
      </c>
      <c r="B15" s="26" t="s">
        <v>2</v>
      </c>
      <c r="C15" s="19"/>
      <c r="D15" s="19"/>
      <c r="E15" s="19"/>
      <c r="F15" s="26" t="s">
        <v>23</v>
      </c>
      <c r="G15" s="19"/>
      <c r="H15" s="19"/>
    </row>
    <row r="16" spans="1:8" ht="24" customHeight="1" x14ac:dyDescent="0.3">
      <c r="A16" s="3" t="s">
        <v>24</v>
      </c>
      <c r="B16" s="28" t="s">
        <v>25</v>
      </c>
      <c r="C16" s="19"/>
      <c r="D16" s="19"/>
      <c r="E16" s="19"/>
      <c r="F16" s="23" t="str">
        <f t="shared" ref="F16:F27" si="0">CONCATENATE(A16,"_LINK")</f>
        <v>ROLES_LINK</v>
      </c>
      <c r="G16" s="19"/>
      <c r="H16" s="19"/>
    </row>
    <row r="17" spans="1:8" ht="24" customHeight="1" x14ac:dyDescent="0.3">
      <c r="A17" s="4" t="s">
        <v>26</v>
      </c>
      <c r="B17" s="24" t="s">
        <v>27</v>
      </c>
      <c r="C17" s="19"/>
      <c r="D17" s="19"/>
      <c r="E17" s="19"/>
      <c r="F17" s="22" t="str">
        <f t="shared" si="0"/>
        <v>BUILDINGS_LINK</v>
      </c>
      <c r="G17" s="19"/>
      <c r="H17" s="19"/>
    </row>
    <row r="18" spans="1:8" ht="24" customHeight="1" x14ac:dyDescent="0.3">
      <c r="A18" s="3" t="s">
        <v>28</v>
      </c>
      <c r="B18" s="28" t="s">
        <v>29</v>
      </c>
      <c r="C18" s="19"/>
      <c r="D18" s="19"/>
      <c r="E18" s="19"/>
      <c r="F18" s="23" t="str">
        <f t="shared" si="0"/>
        <v>SCHEDULES_LINK</v>
      </c>
      <c r="G18" s="19"/>
      <c r="H18" s="19"/>
    </row>
    <row r="19" spans="1:8" ht="24" customHeight="1" x14ac:dyDescent="0.3">
      <c r="A19" s="4" t="s">
        <v>30</v>
      </c>
      <c r="B19" s="24" t="s">
        <v>31</v>
      </c>
      <c r="C19" s="19"/>
      <c r="D19" s="19"/>
      <c r="E19" s="19"/>
      <c r="F19" s="22" t="str">
        <f t="shared" si="0"/>
        <v>FACULTIES_LINK</v>
      </c>
      <c r="G19" s="19"/>
      <c r="H19" s="19"/>
    </row>
    <row r="20" spans="1:8" ht="24" customHeight="1" x14ac:dyDescent="0.3">
      <c r="A20" s="3" t="s">
        <v>32</v>
      </c>
      <c r="B20" s="28" t="s">
        <v>33</v>
      </c>
      <c r="C20" s="19"/>
      <c r="D20" s="19"/>
      <c r="E20" s="19"/>
      <c r="F20" s="23" t="str">
        <f t="shared" si="0"/>
        <v>CLASSROOMS_LINK</v>
      </c>
      <c r="G20" s="19"/>
      <c r="H20" s="19"/>
    </row>
    <row r="21" spans="1:8" ht="24" customHeight="1" x14ac:dyDescent="0.3">
      <c r="A21" s="4" t="s">
        <v>34</v>
      </c>
      <c r="B21" s="24" t="s">
        <v>35</v>
      </c>
      <c r="C21" s="19"/>
      <c r="D21" s="19"/>
      <c r="E21" s="19"/>
      <c r="F21" s="22" t="str">
        <f t="shared" si="0"/>
        <v>PROGRAMS_LINK</v>
      </c>
      <c r="G21" s="19"/>
      <c r="H21" s="19"/>
    </row>
    <row r="22" spans="1:8" ht="24" customHeight="1" x14ac:dyDescent="0.3">
      <c r="A22" s="3" t="s">
        <v>36</v>
      </c>
      <c r="B22" s="28" t="s">
        <v>37</v>
      </c>
      <c r="C22" s="19"/>
      <c r="D22" s="19"/>
      <c r="E22" s="19"/>
      <c r="F22" s="23" t="str">
        <f t="shared" si="0"/>
        <v>COURSES_LINK</v>
      </c>
      <c r="G22" s="19"/>
      <c r="H22" s="19"/>
    </row>
    <row r="23" spans="1:8" ht="24" customHeight="1" x14ac:dyDescent="0.3">
      <c r="A23" s="4" t="s">
        <v>38</v>
      </c>
      <c r="B23" s="24" t="s">
        <v>39</v>
      </c>
      <c r="C23" s="19"/>
      <c r="D23" s="19"/>
      <c r="E23" s="19"/>
      <c r="F23" s="22" t="str">
        <f t="shared" si="0"/>
        <v>USERS_LINK</v>
      </c>
      <c r="G23" s="19"/>
      <c r="H23" s="19"/>
    </row>
    <row r="24" spans="1:8" ht="37.950000000000003" customHeight="1" x14ac:dyDescent="0.3">
      <c r="A24" s="3" t="s">
        <v>40</v>
      </c>
      <c r="B24" s="28" t="s">
        <v>41</v>
      </c>
      <c r="C24" s="19"/>
      <c r="D24" s="19"/>
      <c r="E24" s="19"/>
      <c r="F24" s="23" t="str">
        <f t="shared" si="0"/>
        <v>COURSE_OFFERINGS_LINK</v>
      </c>
      <c r="G24" s="19"/>
      <c r="H24" s="19"/>
    </row>
    <row r="25" spans="1:8" ht="37.950000000000003" customHeight="1" x14ac:dyDescent="0.3">
      <c r="A25" s="4" t="s">
        <v>42</v>
      </c>
      <c r="B25" s="24" t="s">
        <v>43</v>
      </c>
      <c r="C25" s="19"/>
      <c r="D25" s="19"/>
      <c r="E25" s="19"/>
      <c r="F25" s="22" t="str">
        <f t="shared" si="0"/>
        <v>PROGRAMS_COURSES_LINK</v>
      </c>
      <c r="G25" s="19"/>
      <c r="H25" s="19"/>
    </row>
    <row r="26" spans="1:8" ht="37.950000000000003" customHeight="1" x14ac:dyDescent="0.3">
      <c r="A26" s="3" t="s">
        <v>44</v>
      </c>
      <c r="B26" s="28" t="s">
        <v>45</v>
      </c>
      <c r="C26" s="19"/>
      <c r="D26" s="19"/>
      <c r="E26" s="19"/>
      <c r="F26" s="23" t="str">
        <f t="shared" si="0"/>
        <v>PROGRAMS_STUDENTS_LINK</v>
      </c>
      <c r="G26" s="19"/>
      <c r="H26" s="19"/>
    </row>
    <row r="27" spans="1:8" ht="24" customHeight="1" x14ac:dyDescent="0.3">
      <c r="A27" s="4" t="s">
        <v>46</v>
      </c>
      <c r="B27" s="24" t="s">
        <v>47</v>
      </c>
      <c r="C27" s="19"/>
      <c r="D27" s="19"/>
      <c r="E27" s="19"/>
      <c r="F27" s="22" t="str">
        <f t="shared" si="0"/>
        <v>ENROLLMENTS_LINK</v>
      </c>
      <c r="G27" s="19"/>
      <c r="H27" s="19"/>
    </row>
    <row r="28" spans="1:8" ht="6" customHeight="1" x14ac:dyDescent="0.3"/>
    <row r="29" spans="1:8" ht="18" customHeight="1" x14ac:dyDescent="0.3">
      <c r="A29" s="25" t="s">
        <v>48</v>
      </c>
      <c r="B29" s="19"/>
      <c r="C29" s="19"/>
      <c r="D29" s="19"/>
      <c r="E29" s="19"/>
      <c r="F29" s="19"/>
      <c r="G29" s="19"/>
      <c r="H29" s="19"/>
    </row>
    <row r="30" spans="1:8" ht="27" customHeight="1" x14ac:dyDescent="0.3">
      <c r="A30" s="18" t="s">
        <v>49</v>
      </c>
      <c r="B30" s="19"/>
      <c r="C30" s="19"/>
      <c r="D30" s="19"/>
      <c r="E30" s="19"/>
      <c r="F30" s="19"/>
      <c r="G30" s="19"/>
      <c r="H30" s="19"/>
    </row>
    <row r="31" spans="1:8" ht="25.8" customHeight="1" x14ac:dyDescent="0.3">
      <c r="A31" s="18" t="s">
        <v>50</v>
      </c>
      <c r="B31" s="19"/>
      <c r="C31" s="19"/>
      <c r="D31" s="19"/>
      <c r="E31" s="19"/>
      <c r="F31" s="19"/>
      <c r="G31" s="19"/>
      <c r="H31" s="19"/>
    </row>
    <row r="32" spans="1:8" ht="43.8" customHeight="1" x14ac:dyDescent="0.3">
      <c r="A32" s="18" t="s">
        <v>51</v>
      </c>
      <c r="B32" s="19"/>
      <c r="C32" s="19"/>
      <c r="D32" s="19"/>
      <c r="E32" s="19"/>
      <c r="F32" s="19"/>
      <c r="G32" s="19"/>
      <c r="H32" s="19"/>
    </row>
    <row r="33" spans="1:8" ht="27.6" customHeight="1" x14ac:dyDescent="0.3">
      <c r="A33" s="18" t="s">
        <v>52</v>
      </c>
      <c r="B33" s="19"/>
      <c r="C33" s="19"/>
      <c r="D33" s="19"/>
      <c r="E33" s="19"/>
      <c r="F33" s="19"/>
      <c r="G33" s="19"/>
      <c r="H33" s="19"/>
    </row>
    <row r="34" spans="1:8" ht="30" customHeight="1" x14ac:dyDescent="0.3">
      <c r="A34" s="18" t="s">
        <v>53</v>
      </c>
      <c r="B34" s="19"/>
      <c r="C34" s="19"/>
      <c r="D34" s="19"/>
      <c r="E34" s="19"/>
      <c r="F34" s="19"/>
      <c r="G34" s="19"/>
      <c r="H34" s="19"/>
    </row>
  </sheetData>
  <mergeCells count="46">
    <mergeCell ref="A30:H30"/>
    <mergeCell ref="F21:H21"/>
    <mergeCell ref="F18:H18"/>
    <mergeCell ref="F27:H27"/>
    <mergeCell ref="B27:E27"/>
    <mergeCell ref="B6:H6"/>
    <mergeCell ref="B15:E15"/>
    <mergeCell ref="F26:H26"/>
    <mergeCell ref="F17:H17"/>
    <mergeCell ref="B24:E24"/>
    <mergeCell ref="B8:H8"/>
    <mergeCell ref="B10:H10"/>
    <mergeCell ref="A9:H9"/>
    <mergeCell ref="F20:H20"/>
    <mergeCell ref="A1:H1"/>
    <mergeCell ref="B20:E20"/>
    <mergeCell ref="B5:H5"/>
    <mergeCell ref="F23:H23"/>
    <mergeCell ref="B26:E26"/>
    <mergeCell ref="F22:H22"/>
    <mergeCell ref="B4:H4"/>
    <mergeCell ref="B16:E16"/>
    <mergeCell ref="B25:E25"/>
    <mergeCell ref="B7:H7"/>
    <mergeCell ref="B3:H3"/>
    <mergeCell ref="B22:E22"/>
    <mergeCell ref="B18:E18"/>
    <mergeCell ref="A2:H2"/>
    <mergeCell ref="B12:H12"/>
    <mergeCell ref="B21:E21"/>
    <mergeCell ref="A34:H34"/>
    <mergeCell ref="A33:H33"/>
    <mergeCell ref="A14:H14"/>
    <mergeCell ref="B11:H11"/>
    <mergeCell ref="A32:H32"/>
    <mergeCell ref="F25:H25"/>
    <mergeCell ref="F16:H16"/>
    <mergeCell ref="B17:E17"/>
    <mergeCell ref="B23:E23"/>
    <mergeCell ref="F19:H19"/>
    <mergeCell ref="A29:H29"/>
    <mergeCell ref="B13:H13"/>
    <mergeCell ref="B19:E19"/>
    <mergeCell ref="F15:H15"/>
    <mergeCell ref="A31:H31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F5"/>
  <sheetViews>
    <sheetView workbookViewId="0">
      <pane ySplit="3" topLeftCell="A4" activePane="bottomLeft" state="frozen"/>
      <selection pane="bottomLeft" sqref="A1:F1"/>
    </sheetView>
  </sheetViews>
  <sheetFormatPr baseColWidth="10" defaultColWidth="8.88671875" defaultRowHeight="14.4" x14ac:dyDescent="0.3"/>
  <cols>
    <col min="1" max="1" width="18" customWidth="1"/>
    <col min="2" max="2" width="22" customWidth="1"/>
    <col min="3" max="3" width="9" customWidth="1"/>
    <col min="4" max="4" width="26" customWidth="1"/>
    <col min="5" max="5" width="72" customWidth="1"/>
    <col min="6" max="6" width="22" customWidth="1"/>
  </cols>
  <sheetData>
    <row r="1" spans="1:6" ht="28.05" customHeight="1" x14ac:dyDescent="0.3">
      <c r="A1" s="30" t="s">
        <v>54</v>
      </c>
      <c r="B1" s="19"/>
      <c r="C1" s="19"/>
      <c r="D1" s="19"/>
      <c r="E1" s="19"/>
      <c r="F1" s="19"/>
    </row>
    <row r="2" spans="1:6" ht="40.049999999999997" customHeight="1" x14ac:dyDescent="0.3">
      <c r="A2" s="29" t="s">
        <v>55</v>
      </c>
      <c r="B2" s="19"/>
      <c r="C2" s="19"/>
      <c r="D2" s="19"/>
      <c r="E2" s="19"/>
      <c r="F2" s="19"/>
    </row>
    <row r="3" spans="1:6" ht="18" customHeight="1" x14ac:dyDescent="0.3">
      <c r="A3" s="5" t="s">
        <v>56</v>
      </c>
      <c r="B3" s="5" t="s">
        <v>57</v>
      </c>
      <c r="C3" s="5" t="s">
        <v>58</v>
      </c>
      <c r="D3" s="5" t="s">
        <v>59</v>
      </c>
      <c r="E3" s="5" t="s">
        <v>2</v>
      </c>
      <c r="F3" s="5" t="s">
        <v>60</v>
      </c>
    </row>
    <row r="4" spans="1:6" ht="22.05" customHeight="1" x14ac:dyDescent="0.3">
      <c r="A4" s="6" t="s">
        <v>61</v>
      </c>
      <c r="B4" s="7" t="s">
        <v>62</v>
      </c>
      <c r="C4" s="7" t="s">
        <v>63</v>
      </c>
      <c r="D4" s="8" t="s">
        <v>64</v>
      </c>
      <c r="E4" s="9" t="s">
        <v>65</v>
      </c>
      <c r="F4" s="9" t="s">
        <v>66</v>
      </c>
    </row>
    <row r="5" spans="1:6" ht="22.05" customHeight="1" x14ac:dyDescent="0.3">
      <c r="A5" s="10" t="s">
        <v>67</v>
      </c>
      <c r="B5" s="11" t="s">
        <v>68</v>
      </c>
      <c r="C5" s="11" t="s">
        <v>69</v>
      </c>
      <c r="D5" s="12" t="s">
        <v>70</v>
      </c>
      <c r="E5" s="13" t="s">
        <v>71</v>
      </c>
      <c r="F5" s="13" t="s">
        <v>66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F5"/>
  <sheetViews>
    <sheetView workbookViewId="0">
      <pane ySplit="3" topLeftCell="A4" activePane="bottomLeft" state="frozen"/>
      <selection pane="bottomLeft" activeCell="E8" sqref="E8"/>
    </sheetView>
  </sheetViews>
  <sheetFormatPr baseColWidth="10" defaultColWidth="8.88671875" defaultRowHeight="14.4" x14ac:dyDescent="0.3"/>
  <cols>
    <col min="1" max="1" width="18" customWidth="1"/>
    <col min="2" max="2" width="22" customWidth="1"/>
    <col min="3" max="3" width="9" customWidth="1"/>
    <col min="4" max="4" width="26" customWidth="1"/>
    <col min="5" max="5" width="83.109375" customWidth="1"/>
    <col min="6" max="6" width="22" customWidth="1"/>
  </cols>
  <sheetData>
    <row r="1" spans="1:6" ht="28.05" customHeight="1" x14ac:dyDescent="0.3">
      <c r="A1" s="30" t="s">
        <v>72</v>
      </c>
      <c r="B1" s="19"/>
      <c r="C1" s="19"/>
      <c r="D1" s="19"/>
      <c r="E1" s="19"/>
      <c r="F1" s="19"/>
    </row>
    <row r="2" spans="1:6" ht="19.2" customHeight="1" x14ac:dyDescent="0.3">
      <c r="A2" s="29" t="s">
        <v>73</v>
      </c>
      <c r="B2" s="19"/>
      <c r="C2" s="19"/>
      <c r="D2" s="19"/>
      <c r="E2" s="19"/>
      <c r="F2" s="19"/>
    </row>
    <row r="3" spans="1:6" ht="18" customHeight="1" x14ac:dyDescent="0.3">
      <c r="A3" s="5" t="s">
        <v>56</v>
      </c>
      <c r="B3" s="5" t="s">
        <v>57</v>
      </c>
      <c r="C3" s="5" t="s">
        <v>58</v>
      </c>
      <c r="D3" s="5" t="s">
        <v>59</v>
      </c>
      <c r="E3" s="5" t="s">
        <v>2</v>
      </c>
      <c r="F3" s="5" t="s">
        <v>60</v>
      </c>
    </row>
    <row r="4" spans="1:6" ht="31.8" customHeight="1" x14ac:dyDescent="0.3">
      <c r="A4" s="6" t="s">
        <v>74</v>
      </c>
      <c r="B4" s="7" t="s">
        <v>62</v>
      </c>
      <c r="C4" s="7" t="s">
        <v>63</v>
      </c>
      <c r="D4" s="8" t="s">
        <v>64</v>
      </c>
      <c r="E4" s="9" t="s">
        <v>75</v>
      </c>
      <c r="F4" s="9" t="s">
        <v>74</v>
      </c>
    </row>
    <row r="5" spans="1:6" ht="22.05" customHeight="1" x14ac:dyDescent="0.3">
      <c r="A5" s="10" t="s">
        <v>67</v>
      </c>
      <c r="B5" s="11" t="s">
        <v>76</v>
      </c>
      <c r="C5" s="11" t="s">
        <v>77</v>
      </c>
      <c r="D5" s="12" t="s">
        <v>70</v>
      </c>
      <c r="E5" s="13" t="s">
        <v>78</v>
      </c>
      <c r="F5" s="13" t="s">
        <v>67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F5"/>
  <sheetViews>
    <sheetView workbookViewId="0">
      <pane ySplit="3" topLeftCell="A4" activePane="bottomLeft" state="frozen"/>
      <selection pane="bottomLeft" sqref="A1:F1"/>
    </sheetView>
  </sheetViews>
  <sheetFormatPr baseColWidth="10" defaultColWidth="8.88671875" defaultRowHeight="14.4" x14ac:dyDescent="0.3"/>
  <cols>
    <col min="1" max="1" width="18" customWidth="1"/>
    <col min="2" max="2" width="22" customWidth="1"/>
    <col min="3" max="3" width="9" customWidth="1"/>
    <col min="4" max="4" width="26" customWidth="1"/>
    <col min="5" max="5" width="52" customWidth="1"/>
    <col min="6" max="6" width="22" customWidth="1"/>
  </cols>
  <sheetData>
    <row r="1" spans="1:6" ht="28.05" customHeight="1" x14ac:dyDescent="0.3">
      <c r="A1" s="30" t="s">
        <v>79</v>
      </c>
      <c r="B1" s="19"/>
      <c r="C1" s="19"/>
      <c r="D1" s="19"/>
      <c r="E1" s="19"/>
      <c r="F1" s="19"/>
    </row>
    <row r="2" spans="1:6" ht="30.6" customHeight="1" x14ac:dyDescent="0.3">
      <c r="A2" s="29" t="s">
        <v>80</v>
      </c>
      <c r="B2" s="19"/>
      <c r="C2" s="19"/>
      <c r="D2" s="19"/>
      <c r="E2" s="19"/>
      <c r="F2" s="19"/>
    </row>
    <row r="3" spans="1:6" ht="18" customHeight="1" x14ac:dyDescent="0.3">
      <c r="A3" s="5" t="s">
        <v>56</v>
      </c>
      <c r="B3" s="5" t="s">
        <v>57</v>
      </c>
      <c r="C3" s="5" t="s">
        <v>58</v>
      </c>
      <c r="D3" s="5" t="s">
        <v>59</v>
      </c>
      <c r="E3" s="5" t="s">
        <v>2</v>
      </c>
      <c r="F3" s="5" t="s">
        <v>60</v>
      </c>
    </row>
    <row r="4" spans="1:6" ht="22.05" customHeight="1" x14ac:dyDescent="0.3">
      <c r="A4" s="6" t="s">
        <v>81</v>
      </c>
      <c r="B4" s="7" t="s">
        <v>62</v>
      </c>
      <c r="C4" s="7" t="s">
        <v>63</v>
      </c>
      <c r="D4" s="8" t="s">
        <v>64</v>
      </c>
      <c r="E4" s="9" t="s">
        <v>82</v>
      </c>
      <c r="F4" s="9" t="s">
        <v>81</v>
      </c>
    </row>
    <row r="5" spans="1:6" ht="22.05" customHeight="1" x14ac:dyDescent="0.3">
      <c r="A5" s="10" t="s">
        <v>67</v>
      </c>
      <c r="B5" s="11" t="s">
        <v>68</v>
      </c>
      <c r="C5" s="11" t="s">
        <v>69</v>
      </c>
      <c r="D5" s="12" t="s">
        <v>70</v>
      </c>
      <c r="E5" s="13" t="s">
        <v>83</v>
      </c>
      <c r="F5" s="13" t="s">
        <v>67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F7"/>
  <sheetViews>
    <sheetView workbookViewId="0">
      <pane ySplit="3" topLeftCell="A4" activePane="bottomLeft" state="frozen"/>
      <selection pane="bottomLeft" sqref="A1:F1"/>
    </sheetView>
  </sheetViews>
  <sheetFormatPr baseColWidth="10" defaultColWidth="8.88671875" defaultRowHeight="14.4" x14ac:dyDescent="0.3"/>
  <cols>
    <col min="1" max="1" width="18" customWidth="1"/>
    <col min="2" max="2" width="22" customWidth="1"/>
    <col min="3" max="3" width="9" customWidth="1"/>
    <col min="4" max="4" width="36.5546875" customWidth="1"/>
    <col min="5" max="5" width="85.44140625" customWidth="1"/>
    <col min="6" max="6" width="22" customWidth="1"/>
  </cols>
  <sheetData>
    <row r="1" spans="1:6" ht="28.05" customHeight="1" x14ac:dyDescent="0.3">
      <c r="A1" s="30" t="s">
        <v>84</v>
      </c>
      <c r="B1" s="19"/>
      <c r="C1" s="19"/>
      <c r="D1" s="19"/>
      <c r="E1" s="19"/>
      <c r="F1" s="19"/>
    </row>
    <row r="2" spans="1:6" ht="28.8" customHeight="1" x14ac:dyDescent="0.3">
      <c r="A2" s="29" t="s">
        <v>85</v>
      </c>
      <c r="B2" s="19"/>
      <c r="C2" s="19"/>
      <c r="D2" s="19"/>
      <c r="E2" s="19"/>
      <c r="F2" s="19"/>
    </row>
    <row r="3" spans="1:6" ht="18" customHeight="1" x14ac:dyDescent="0.3">
      <c r="A3" s="5" t="s">
        <v>56</v>
      </c>
      <c r="B3" s="5" t="s">
        <v>57</v>
      </c>
      <c r="C3" s="5" t="s">
        <v>58</v>
      </c>
      <c r="D3" s="5" t="s">
        <v>59</v>
      </c>
      <c r="E3" s="5" t="s">
        <v>2</v>
      </c>
      <c r="F3" s="5" t="s">
        <v>60</v>
      </c>
    </row>
    <row r="4" spans="1:6" ht="22.05" customHeight="1" x14ac:dyDescent="0.3">
      <c r="A4" s="6" t="s">
        <v>86</v>
      </c>
      <c r="B4" s="7" t="s">
        <v>62</v>
      </c>
      <c r="C4" s="7" t="s">
        <v>63</v>
      </c>
      <c r="D4" s="8" t="s">
        <v>64</v>
      </c>
      <c r="E4" s="9" t="s">
        <v>87</v>
      </c>
      <c r="F4" s="9" t="s">
        <v>86</v>
      </c>
    </row>
    <row r="5" spans="1:6" ht="28.8" customHeight="1" x14ac:dyDescent="0.3">
      <c r="A5" s="10" t="s">
        <v>88</v>
      </c>
      <c r="B5" s="11" t="s">
        <v>89</v>
      </c>
      <c r="C5" s="11" t="s">
        <v>63</v>
      </c>
      <c r="D5" s="12" t="s">
        <v>70</v>
      </c>
      <c r="E5" s="13" t="s">
        <v>90</v>
      </c>
      <c r="F5" s="13" t="s">
        <v>88</v>
      </c>
    </row>
    <row r="6" spans="1:6" ht="22.05" customHeight="1" x14ac:dyDescent="0.3">
      <c r="A6" s="14" t="s">
        <v>91</v>
      </c>
      <c r="B6" s="15" t="s">
        <v>92</v>
      </c>
      <c r="C6" s="15" t="s">
        <v>63</v>
      </c>
      <c r="D6" s="16" t="s">
        <v>70</v>
      </c>
      <c r="E6" s="17" t="s">
        <v>93</v>
      </c>
      <c r="F6" s="17" t="s">
        <v>91</v>
      </c>
    </row>
    <row r="7" spans="1:6" ht="28.8" customHeight="1" x14ac:dyDescent="0.3">
      <c r="A7" s="10" t="s">
        <v>94</v>
      </c>
      <c r="B7" s="11" t="s">
        <v>92</v>
      </c>
      <c r="C7" s="11" t="s">
        <v>63</v>
      </c>
      <c r="D7" s="12" t="s">
        <v>95</v>
      </c>
      <c r="E7" s="13" t="s">
        <v>96</v>
      </c>
      <c r="F7" s="13" t="s">
        <v>94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F6"/>
  <sheetViews>
    <sheetView workbookViewId="0">
      <pane ySplit="3" topLeftCell="A4" activePane="bottomLeft" state="frozen"/>
      <selection pane="bottomLeft" sqref="A1:F1"/>
    </sheetView>
  </sheetViews>
  <sheetFormatPr baseColWidth="10" defaultColWidth="8.88671875" defaultRowHeight="14.4" x14ac:dyDescent="0.3"/>
  <cols>
    <col min="1" max="1" width="18" customWidth="1"/>
    <col min="2" max="2" width="22" customWidth="1"/>
    <col min="3" max="3" width="9" customWidth="1"/>
    <col min="4" max="4" width="40" customWidth="1"/>
    <col min="5" max="5" width="68.33203125" customWidth="1"/>
    <col min="6" max="6" width="22" customWidth="1"/>
  </cols>
  <sheetData>
    <row r="1" spans="1:6" ht="28.05" customHeight="1" x14ac:dyDescent="0.3">
      <c r="A1" s="30" t="s">
        <v>97</v>
      </c>
      <c r="B1" s="19"/>
      <c r="C1" s="19"/>
      <c r="D1" s="19"/>
      <c r="E1" s="19"/>
      <c r="F1" s="19"/>
    </row>
    <row r="2" spans="1:6" ht="40.049999999999997" customHeight="1" x14ac:dyDescent="0.3">
      <c r="A2" s="29" t="s">
        <v>98</v>
      </c>
      <c r="B2" s="19"/>
      <c r="C2" s="19"/>
      <c r="D2" s="19"/>
      <c r="E2" s="19"/>
      <c r="F2" s="19"/>
    </row>
    <row r="3" spans="1:6" ht="18" customHeight="1" x14ac:dyDescent="0.3">
      <c r="A3" s="5" t="s">
        <v>56</v>
      </c>
      <c r="B3" s="5" t="s">
        <v>57</v>
      </c>
      <c r="C3" s="5" t="s">
        <v>58</v>
      </c>
      <c r="D3" s="5" t="s">
        <v>59</v>
      </c>
      <c r="E3" s="5" t="s">
        <v>2</v>
      </c>
      <c r="F3" s="5" t="s">
        <v>60</v>
      </c>
    </row>
    <row r="4" spans="1:6" ht="22.05" customHeight="1" x14ac:dyDescent="0.3">
      <c r="A4" s="6" t="s">
        <v>99</v>
      </c>
      <c r="B4" s="7" t="s">
        <v>62</v>
      </c>
      <c r="C4" s="7" t="s">
        <v>63</v>
      </c>
      <c r="D4" s="8" t="s">
        <v>64</v>
      </c>
      <c r="E4" s="9" t="s">
        <v>100</v>
      </c>
      <c r="F4" s="9" t="s">
        <v>66</v>
      </c>
    </row>
    <row r="5" spans="1:6" ht="22.05" customHeight="1" x14ac:dyDescent="0.3">
      <c r="A5" s="10" t="s">
        <v>67</v>
      </c>
      <c r="B5" s="11" t="s">
        <v>68</v>
      </c>
      <c r="C5" s="11" t="s">
        <v>69</v>
      </c>
      <c r="D5" s="12" t="s">
        <v>70</v>
      </c>
      <c r="E5" s="13" t="s">
        <v>101</v>
      </c>
      <c r="F5" s="13" t="s">
        <v>66</v>
      </c>
    </row>
    <row r="6" spans="1:6" ht="22.05" customHeight="1" x14ac:dyDescent="0.3">
      <c r="A6" s="14" t="s">
        <v>61</v>
      </c>
      <c r="B6" s="15" t="s">
        <v>102</v>
      </c>
      <c r="C6" s="15" t="s">
        <v>63</v>
      </c>
      <c r="D6" s="16" t="s">
        <v>103</v>
      </c>
      <c r="E6" s="17" t="s">
        <v>104</v>
      </c>
      <c r="F6" s="17" t="s">
        <v>66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F6"/>
  <sheetViews>
    <sheetView zoomScale="85" zoomScaleNormal="85" workbookViewId="0">
      <pane ySplit="3" topLeftCell="A4" activePane="bottomLeft" state="frozen"/>
      <selection pane="bottomLeft" sqref="A1:F1"/>
    </sheetView>
  </sheetViews>
  <sheetFormatPr baseColWidth="10" defaultColWidth="8.88671875" defaultRowHeight="14.4" x14ac:dyDescent="0.3"/>
  <cols>
    <col min="1" max="1" width="18" customWidth="1"/>
    <col min="2" max="2" width="22" customWidth="1"/>
    <col min="3" max="3" width="9" customWidth="1"/>
    <col min="4" max="4" width="42.6640625" customWidth="1"/>
    <col min="5" max="5" width="64.88671875" customWidth="1"/>
    <col min="6" max="6" width="22" customWidth="1"/>
  </cols>
  <sheetData>
    <row r="1" spans="1:6" ht="28.05" customHeight="1" x14ac:dyDescent="0.3">
      <c r="A1" s="30" t="s">
        <v>105</v>
      </c>
      <c r="B1" s="19"/>
      <c r="C1" s="19"/>
      <c r="D1" s="19"/>
      <c r="E1" s="19"/>
      <c r="F1" s="19"/>
    </row>
    <row r="2" spans="1:6" ht="40.049999999999997" customHeight="1" x14ac:dyDescent="0.3">
      <c r="A2" s="29" t="s">
        <v>106</v>
      </c>
      <c r="B2" s="19"/>
      <c r="C2" s="19"/>
      <c r="D2" s="19"/>
      <c r="E2" s="19"/>
      <c r="F2" s="19"/>
    </row>
    <row r="3" spans="1:6" ht="18" customHeight="1" x14ac:dyDescent="0.3">
      <c r="A3" s="5" t="s">
        <v>56</v>
      </c>
      <c r="B3" s="5" t="s">
        <v>57</v>
      </c>
      <c r="C3" s="5" t="s">
        <v>58</v>
      </c>
      <c r="D3" s="5" t="s">
        <v>59</v>
      </c>
      <c r="E3" s="5" t="s">
        <v>2</v>
      </c>
      <c r="F3" s="5" t="s">
        <v>60</v>
      </c>
    </row>
    <row r="4" spans="1:6" ht="22.05" customHeight="1" x14ac:dyDescent="0.3">
      <c r="A4" s="6" t="s">
        <v>107</v>
      </c>
      <c r="B4" s="7" t="s">
        <v>62</v>
      </c>
      <c r="C4" s="7" t="s">
        <v>63</v>
      </c>
      <c r="D4" s="8" t="s">
        <v>64</v>
      </c>
      <c r="E4" s="9" t="s">
        <v>108</v>
      </c>
      <c r="F4" s="9" t="s">
        <v>107</v>
      </c>
    </row>
    <row r="5" spans="1:6" ht="22.05" customHeight="1" x14ac:dyDescent="0.3">
      <c r="A5" s="10" t="s">
        <v>67</v>
      </c>
      <c r="B5" s="11" t="s">
        <v>76</v>
      </c>
      <c r="C5" s="11" t="s">
        <v>77</v>
      </c>
      <c r="D5" s="12" t="s">
        <v>70</v>
      </c>
      <c r="E5" s="13" t="s">
        <v>109</v>
      </c>
      <c r="F5" s="13" t="s">
        <v>67</v>
      </c>
    </row>
    <row r="6" spans="1:6" ht="22.05" customHeight="1" x14ac:dyDescent="0.3">
      <c r="A6" s="14" t="s">
        <v>81</v>
      </c>
      <c r="B6" s="15" t="s">
        <v>102</v>
      </c>
      <c r="C6" s="15" t="s">
        <v>63</v>
      </c>
      <c r="D6" s="16" t="s">
        <v>110</v>
      </c>
      <c r="E6" s="17" t="s">
        <v>111</v>
      </c>
      <c r="F6" s="17" t="s">
        <v>81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F6"/>
  <sheetViews>
    <sheetView workbookViewId="0">
      <pane ySplit="3" topLeftCell="A4" activePane="bottomLeft" state="frozen"/>
      <selection pane="bottomLeft" sqref="A1:F1"/>
    </sheetView>
  </sheetViews>
  <sheetFormatPr baseColWidth="10" defaultColWidth="8.88671875" defaultRowHeight="14.4" x14ac:dyDescent="0.3"/>
  <cols>
    <col min="1" max="1" width="18" customWidth="1"/>
    <col min="2" max="2" width="22" customWidth="1"/>
    <col min="3" max="3" width="9" customWidth="1"/>
    <col min="4" max="4" width="39.5546875" customWidth="1"/>
    <col min="5" max="5" width="71.5546875" customWidth="1"/>
    <col min="6" max="6" width="22" customWidth="1"/>
  </cols>
  <sheetData>
    <row r="1" spans="1:6" ht="28.05" customHeight="1" x14ac:dyDescent="0.3">
      <c r="A1" s="30" t="s">
        <v>112</v>
      </c>
      <c r="B1" s="19"/>
      <c r="C1" s="19"/>
      <c r="D1" s="19"/>
      <c r="E1" s="19"/>
      <c r="F1" s="19"/>
    </row>
    <row r="2" spans="1:6" ht="40.049999999999997" customHeight="1" x14ac:dyDescent="0.3">
      <c r="A2" s="29" t="s">
        <v>113</v>
      </c>
      <c r="B2" s="19"/>
      <c r="C2" s="19"/>
      <c r="D2" s="19"/>
      <c r="E2" s="19"/>
      <c r="F2" s="19"/>
    </row>
    <row r="3" spans="1:6" ht="18" customHeight="1" x14ac:dyDescent="0.3">
      <c r="A3" s="5" t="s">
        <v>56</v>
      </c>
      <c r="B3" s="5" t="s">
        <v>57</v>
      </c>
      <c r="C3" s="5" t="s">
        <v>58</v>
      </c>
      <c r="D3" s="5" t="s">
        <v>59</v>
      </c>
      <c r="E3" s="5" t="s">
        <v>2</v>
      </c>
      <c r="F3" s="5" t="s">
        <v>60</v>
      </c>
    </row>
    <row r="4" spans="1:6" ht="22.05" customHeight="1" x14ac:dyDescent="0.3">
      <c r="A4" s="6" t="s">
        <v>114</v>
      </c>
      <c r="B4" s="7" t="s">
        <v>62</v>
      </c>
      <c r="C4" s="7" t="s">
        <v>63</v>
      </c>
      <c r="D4" s="8" t="s">
        <v>64</v>
      </c>
      <c r="E4" s="9" t="s">
        <v>115</v>
      </c>
      <c r="F4" s="9" t="s">
        <v>114</v>
      </c>
    </row>
    <row r="5" spans="1:6" ht="22.05" customHeight="1" x14ac:dyDescent="0.3">
      <c r="A5" s="10" t="s">
        <v>67</v>
      </c>
      <c r="B5" s="11" t="s">
        <v>116</v>
      </c>
      <c r="C5" s="11" t="s">
        <v>117</v>
      </c>
      <c r="D5" s="12" t="s">
        <v>70</v>
      </c>
      <c r="E5" s="13" t="s">
        <v>118</v>
      </c>
      <c r="F5" s="13" t="s">
        <v>67</v>
      </c>
    </row>
    <row r="6" spans="1:6" ht="22.05" customHeight="1" x14ac:dyDescent="0.3">
      <c r="A6" s="14" t="s">
        <v>61</v>
      </c>
      <c r="B6" s="15" t="s">
        <v>102</v>
      </c>
      <c r="C6" s="15" t="s">
        <v>63</v>
      </c>
      <c r="D6" s="16" t="s">
        <v>103</v>
      </c>
      <c r="E6" s="17" t="s">
        <v>119</v>
      </c>
      <c r="F6" s="17" t="s">
        <v>61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F8"/>
  <sheetViews>
    <sheetView workbookViewId="0">
      <pane ySplit="3" topLeftCell="A4" activePane="bottomLeft" state="frozen"/>
      <selection pane="bottomLeft" sqref="A1:F1"/>
    </sheetView>
  </sheetViews>
  <sheetFormatPr baseColWidth="10" defaultColWidth="8.88671875" defaultRowHeight="14.4" x14ac:dyDescent="0.3"/>
  <cols>
    <col min="1" max="1" width="18" customWidth="1"/>
    <col min="2" max="2" width="22" customWidth="1"/>
    <col min="3" max="3" width="9" customWidth="1"/>
    <col min="4" max="4" width="26" customWidth="1"/>
    <col min="5" max="5" width="125.44140625" customWidth="1"/>
    <col min="6" max="6" width="22" customWidth="1"/>
  </cols>
  <sheetData>
    <row r="1" spans="1:6" ht="28.05" customHeight="1" x14ac:dyDescent="0.3">
      <c r="A1" s="30" t="s">
        <v>120</v>
      </c>
      <c r="B1" s="19"/>
      <c r="C1" s="19"/>
      <c r="D1" s="19"/>
      <c r="E1" s="19"/>
      <c r="F1" s="19"/>
    </row>
    <row r="2" spans="1:6" ht="40.049999999999997" customHeight="1" x14ac:dyDescent="0.3">
      <c r="A2" s="29" t="s">
        <v>121</v>
      </c>
      <c r="B2" s="19"/>
      <c r="C2" s="19"/>
      <c r="D2" s="19"/>
      <c r="E2" s="19"/>
      <c r="F2" s="19"/>
    </row>
    <row r="3" spans="1:6" ht="18" customHeight="1" x14ac:dyDescent="0.3">
      <c r="A3" s="5" t="s">
        <v>56</v>
      </c>
      <c r="B3" s="5" t="s">
        <v>57</v>
      </c>
      <c r="C3" s="5" t="s">
        <v>58</v>
      </c>
      <c r="D3" s="5" t="s">
        <v>59</v>
      </c>
      <c r="E3" s="5" t="s">
        <v>2</v>
      </c>
      <c r="F3" s="5" t="s">
        <v>60</v>
      </c>
    </row>
    <row r="4" spans="1:6" ht="22.05" customHeight="1" x14ac:dyDescent="0.3">
      <c r="A4" s="6" t="s">
        <v>122</v>
      </c>
      <c r="B4" s="7" t="s">
        <v>62</v>
      </c>
      <c r="C4" s="7" t="s">
        <v>63</v>
      </c>
      <c r="D4" s="8" t="s">
        <v>64</v>
      </c>
      <c r="E4" s="9" t="s">
        <v>123</v>
      </c>
      <c r="F4" s="9" t="s">
        <v>122</v>
      </c>
    </row>
    <row r="5" spans="1:6" ht="22.05" customHeight="1" x14ac:dyDescent="0.3">
      <c r="A5" s="10" t="s">
        <v>124</v>
      </c>
      <c r="B5" s="11" t="s">
        <v>68</v>
      </c>
      <c r="C5" s="11" t="s">
        <v>69</v>
      </c>
      <c r="D5" s="12" t="s">
        <v>70</v>
      </c>
      <c r="E5" s="13" t="s">
        <v>125</v>
      </c>
      <c r="F5" s="13" t="s">
        <v>124</v>
      </c>
    </row>
    <row r="6" spans="1:6" ht="22.05" customHeight="1" x14ac:dyDescent="0.3">
      <c r="A6" s="14" t="s">
        <v>126</v>
      </c>
      <c r="B6" s="15" t="s">
        <v>68</v>
      </c>
      <c r="C6" s="15" t="s">
        <v>69</v>
      </c>
      <c r="D6" s="16" t="s">
        <v>70</v>
      </c>
      <c r="E6" s="17" t="s">
        <v>127</v>
      </c>
      <c r="F6" s="17" t="s">
        <v>126</v>
      </c>
    </row>
    <row r="7" spans="1:6" ht="22.05" customHeight="1" x14ac:dyDescent="0.3">
      <c r="A7" s="10" t="s">
        <v>128</v>
      </c>
      <c r="B7" s="11" t="s">
        <v>116</v>
      </c>
      <c r="C7" s="11" t="s">
        <v>117</v>
      </c>
      <c r="D7" s="12" t="s">
        <v>129</v>
      </c>
      <c r="E7" s="13" t="s">
        <v>130</v>
      </c>
      <c r="F7" s="13" t="s">
        <v>128</v>
      </c>
    </row>
    <row r="8" spans="1:6" ht="22.05" customHeight="1" x14ac:dyDescent="0.3">
      <c r="A8" s="14" t="s">
        <v>74</v>
      </c>
      <c r="B8" s="15" t="s">
        <v>102</v>
      </c>
      <c r="C8" s="15" t="s">
        <v>63</v>
      </c>
      <c r="D8" s="16" t="s">
        <v>131</v>
      </c>
      <c r="E8" s="17" t="s">
        <v>132</v>
      </c>
      <c r="F8" s="17" t="s">
        <v>74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F9"/>
  <sheetViews>
    <sheetView workbookViewId="0">
      <pane ySplit="3" topLeftCell="A4" activePane="bottomLeft" state="frozen"/>
      <selection pane="bottomLeft" sqref="A1:F1"/>
    </sheetView>
  </sheetViews>
  <sheetFormatPr baseColWidth="10" defaultColWidth="8.88671875" defaultRowHeight="14.4" x14ac:dyDescent="0.3"/>
  <cols>
    <col min="1" max="1" width="21" customWidth="1"/>
    <col min="2" max="2" width="22" customWidth="1"/>
    <col min="3" max="3" width="9" customWidth="1"/>
    <col min="4" max="4" width="41.44140625" customWidth="1"/>
    <col min="5" max="5" width="82.88671875" customWidth="1"/>
    <col min="6" max="6" width="22" customWidth="1"/>
  </cols>
  <sheetData>
    <row r="1" spans="1:6" ht="28.05" customHeight="1" x14ac:dyDescent="0.3">
      <c r="A1" s="30" t="s">
        <v>133</v>
      </c>
      <c r="B1" s="19"/>
      <c r="C1" s="19"/>
      <c r="D1" s="19"/>
      <c r="E1" s="19"/>
      <c r="F1" s="19"/>
    </row>
    <row r="2" spans="1:6" ht="40.049999999999997" customHeight="1" x14ac:dyDescent="0.3">
      <c r="A2" s="29" t="s">
        <v>134</v>
      </c>
      <c r="B2" s="19"/>
      <c r="C2" s="19"/>
      <c r="D2" s="19"/>
      <c r="E2" s="19"/>
      <c r="F2" s="19"/>
    </row>
    <row r="3" spans="1:6" ht="18" customHeight="1" x14ac:dyDescent="0.3">
      <c r="A3" s="5" t="s">
        <v>56</v>
      </c>
      <c r="B3" s="5" t="s">
        <v>57</v>
      </c>
      <c r="C3" s="5" t="s">
        <v>58</v>
      </c>
      <c r="D3" s="5" t="s">
        <v>59</v>
      </c>
      <c r="E3" s="5" t="s">
        <v>2</v>
      </c>
      <c r="F3" s="5" t="s">
        <v>60</v>
      </c>
    </row>
    <row r="4" spans="1:6" ht="22.05" customHeight="1" x14ac:dyDescent="0.3">
      <c r="A4" s="6" t="s">
        <v>135</v>
      </c>
      <c r="B4" s="7" t="s">
        <v>62</v>
      </c>
      <c r="C4" s="7" t="s">
        <v>63</v>
      </c>
      <c r="D4" s="8" t="s">
        <v>64</v>
      </c>
      <c r="E4" s="9" t="s">
        <v>136</v>
      </c>
      <c r="F4" s="9" t="s">
        <v>135</v>
      </c>
    </row>
    <row r="5" spans="1:6" ht="22.05" customHeight="1" x14ac:dyDescent="0.3">
      <c r="A5" s="10" t="s">
        <v>114</v>
      </c>
      <c r="B5" s="11" t="s">
        <v>102</v>
      </c>
      <c r="C5" s="11" t="s">
        <v>63</v>
      </c>
      <c r="D5" s="12" t="s">
        <v>137</v>
      </c>
      <c r="E5" s="13" t="s">
        <v>138</v>
      </c>
      <c r="F5" s="13" t="s">
        <v>114</v>
      </c>
    </row>
    <row r="6" spans="1:6" ht="22.05" customHeight="1" x14ac:dyDescent="0.3">
      <c r="A6" s="14" t="s">
        <v>86</v>
      </c>
      <c r="B6" s="15" t="s">
        <v>102</v>
      </c>
      <c r="C6" s="15" t="s">
        <v>63</v>
      </c>
      <c r="D6" s="16" t="s">
        <v>139</v>
      </c>
      <c r="E6" s="17" t="s">
        <v>140</v>
      </c>
      <c r="F6" s="17" t="s">
        <v>86</v>
      </c>
    </row>
    <row r="7" spans="1:6" ht="22.05" customHeight="1" x14ac:dyDescent="0.3">
      <c r="A7" s="10" t="s">
        <v>107</v>
      </c>
      <c r="B7" s="11" t="s">
        <v>102</v>
      </c>
      <c r="C7" s="11" t="s">
        <v>63</v>
      </c>
      <c r="D7" s="12" t="s">
        <v>141</v>
      </c>
      <c r="E7" s="13" t="s">
        <v>142</v>
      </c>
      <c r="F7" s="13" t="s">
        <v>107</v>
      </c>
    </row>
    <row r="8" spans="1:6" ht="22.05" customHeight="1" x14ac:dyDescent="0.3">
      <c r="A8" s="14" t="s">
        <v>143</v>
      </c>
      <c r="B8" s="15" t="s">
        <v>102</v>
      </c>
      <c r="C8" s="15" t="s">
        <v>63</v>
      </c>
      <c r="D8" s="16" t="s">
        <v>144</v>
      </c>
      <c r="E8" s="17" t="s">
        <v>145</v>
      </c>
      <c r="F8" s="17" t="s">
        <v>143</v>
      </c>
    </row>
    <row r="9" spans="1:6" ht="22.05" customHeight="1" x14ac:dyDescent="0.3">
      <c r="A9" s="10" t="s">
        <v>146</v>
      </c>
      <c r="B9" s="11" t="s">
        <v>102</v>
      </c>
      <c r="C9" s="11" t="s">
        <v>63</v>
      </c>
      <c r="D9" s="12" t="s">
        <v>147</v>
      </c>
      <c r="E9" s="13" t="s">
        <v>148</v>
      </c>
      <c r="F9" s="13" t="s">
        <v>146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F6"/>
  <sheetViews>
    <sheetView workbookViewId="0">
      <pane ySplit="3" topLeftCell="A4" activePane="bottomLeft" state="frozen"/>
      <selection pane="bottomLeft" sqref="A1:F1"/>
    </sheetView>
  </sheetViews>
  <sheetFormatPr baseColWidth="10" defaultColWidth="8.88671875" defaultRowHeight="14.4" x14ac:dyDescent="0.3"/>
  <cols>
    <col min="1" max="1" width="25.88671875" customWidth="1"/>
    <col min="2" max="2" width="22" customWidth="1"/>
    <col min="3" max="3" width="9" customWidth="1"/>
    <col min="4" max="4" width="52.5546875" customWidth="1"/>
    <col min="5" max="5" width="106.21875" customWidth="1"/>
    <col min="6" max="6" width="22" customWidth="1"/>
  </cols>
  <sheetData>
    <row r="1" spans="1:6" ht="28.05" customHeight="1" x14ac:dyDescent="0.3">
      <c r="A1" s="30" t="s">
        <v>149</v>
      </c>
      <c r="B1" s="19"/>
      <c r="C1" s="19"/>
      <c r="D1" s="19"/>
      <c r="E1" s="19"/>
      <c r="F1" s="19"/>
    </row>
    <row r="2" spans="1:6" ht="40.049999999999997" customHeight="1" x14ac:dyDescent="0.3">
      <c r="A2" s="29" t="s">
        <v>150</v>
      </c>
      <c r="B2" s="19"/>
      <c r="C2" s="19"/>
      <c r="D2" s="19"/>
      <c r="E2" s="19"/>
      <c r="F2" s="19"/>
    </row>
    <row r="3" spans="1:6" ht="18" customHeight="1" x14ac:dyDescent="0.3">
      <c r="A3" s="5" t="s">
        <v>56</v>
      </c>
      <c r="B3" s="5" t="s">
        <v>57</v>
      </c>
      <c r="C3" s="5" t="s">
        <v>58</v>
      </c>
      <c r="D3" s="5" t="s">
        <v>59</v>
      </c>
      <c r="E3" s="5" t="s">
        <v>2</v>
      </c>
      <c r="F3" s="5" t="s">
        <v>60</v>
      </c>
    </row>
    <row r="4" spans="1:6" ht="22.05" customHeight="1" x14ac:dyDescent="0.3">
      <c r="A4" s="6" t="s">
        <v>99</v>
      </c>
      <c r="B4" s="7" t="s">
        <v>102</v>
      </c>
      <c r="C4" s="7" t="s">
        <v>63</v>
      </c>
      <c r="D4" s="8" t="s">
        <v>151</v>
      </c>
      <c r="E4" s="9" t="s">
        <v>152</v>
      </c>
      <c r="F4" s="9" t="s">
        <v>99</v>
      </c>
    </row>
    <row r="5" spans="1:6" ht="22.05" customHeight="1" x14ac:dyDescent="0.3">
      <c r="A5" s="6" t="s">
        <v>114</v>
      </c>
      <c r="B5" s="7" t="s">
        <v>102</v>
      </c>
      <c r="C5" s="7" t="s">
        <v>63</v>
      </c>
      <c r="D5" s="8" t="s">
        <v>153</v>
      </c>
      <c r="E5" s="9" t="s">
        <v>154</v>
      </c>
      <c r="F5" s="9" t="s">
        <v>114</v>
      </c>
    </row>
    <row r="6" spans="1:6" ht="22.05" customHeight="1" x14ac:dyDescent="0.3">
      <c r="A6" s="14" t="s">
        <v>155</v>
      </c>
      <c r="B6" s="15" t="s">
        <v>102</v>
      </c>
      <c r="C6" s="15" t="s">
        <v>63</v>
      </c>
      <c r="D6" s="16" t="s">
        <v>156</v>
      </c>
      <c r="E6" s="17" t="s">
        <v>157</v>
      </c>
      <c r="F6" s="17" t="s">
        <v>155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F6"/>
  <sheetViews>
    <sheetView workbookViewId="0">
      <pane ySplit="3" topLeftCell="A4" activePane="bottomLeft" state="frozen"/>
      <selection pane="bottomLeft" sqref="A1:F1"/>
    </sheetView>
  </sheetViews>
  <sheetFormatPr baseColWidth="10" defaultColWidth="8.88671875" defaultRowHeight="14.4" x14ac:dyDescent="0.3"/>
  <cols>
    <col min="1" max="1" width="25.21875" customWidth="1"/>
    <col min="2" max="2" width="22" customWidth="1"/>
    <col min="3" max="3" width="9" customWidth="1"/>
    <col min="4" max="4" width="49.77734375" customWidth="1"/>
    <col min="5" max="5" width="98.109375" customWidth="1"/>
    <col min="6" max="6" width="22" customWidth="1"/>
  </cols>
  <sheetData>
    <row r="1" spans="1:6" ht="28.05" customHeight="1" x14ac:dyDescent="0.3">
      <c r="A1" s="30" t="s">
        <v>158</v>
      </c>
      <c r="B1" s="19"/>
      <c r="C1" s="19"/>
      <c r="D1" s="19"/>
      <c r="E1" s="19"/>
      <c r="F1" s="19"/>
    </row>
    <row r="2" spans="1:6" ht="40.049999999999997" customHeight="1" x14ac:dyDescent="0.3">
      <c r="A2" s="29" t="s">
        <v>159</v>
      </c>
      <c r="B2" s="19"/>
      <c r="C2" s="19"/>
      <c r="D2" s="19"/>
      <c r="E2" s="19"/>
      <c r="F2" s="19"/>
    </row>
    <row r="3" spans="1:6" ht="18" customHeight="1" x14ac:dyDescent="0.3">
      <c r="A3" s="5" t="s">
        <v>56</v>
      </c>
      <c r="B3" s="5" t="s">
        <v>57</v>
      </c>
      <c r="C3" s="5" t="s">
        <v>58</v>
      </c>
      <c r="D3" s="5" t="s">
        <v>59</v>
      </c>
      <c r="E3" s="5" t="s">
        <v>2</v>
      </c>
      <c r="F3" s="5" t="s">
        <v>60</v>
      </c>
    </row>
    <row r="4" spans="1:6" ht="22.05" customHeight="1" x14ac:dyDescent="0.3">
      <c r="A4" s="6" t="s">
        <v>99</v>
      </c>
      <c r="B4" s="7" t="s">
        <v>102</v>
      </c>
      <c r="C4" s="7" t="s">
        <v>63</v>
      </c>
      <c r="D4" s="8" t="s">
        <v>151</v>
      </c>
      <c r="E4" s="9" t="s">
        <v>160</v>
      </c>
      <c r="F4" s="9" t="s">
        <v>99</v>
      </c>
    </row>
    <row r="5" spans="1:6" ht="22.05" customHeight="1" x14ac:dyDescent="0.3">
      <c r="A5" s="6" t="s">
        <v>122</v>
      </c>
      <c r="B5" s="7" t="s">
        <v>102</v>
      </c>
      <c r="C5" s="7" t="s">
        <v>63</v>
      </c>
      <c r="D5" s="8" t="s">
        <v>161</v>
      </c>
      <c r="E5" s="9" t="s">
        <v>162</v>
      </c>
      <c r="F5" s="9" t="s">
        <v>122</v>
      </c>
    </row>
    <row r="6" spans="1:6" ht="22.05" customHeight="1" x14ac:dyDescent="0.3">
      <c r="A6" s="14" t="s">
        <v>163</v>
      </c>
      <c r="B6" s="15" t="s">
        <v>102</v>
      </c>
      <c r="C6" s="15" t="s">
        <v>63</v>
      </c>
      <c r="D6" s="16" t="s">
        <v>156</v>
      </c>
      <c r="E6" s="17" t="s">
        <v>164</v>
      </c>
      <c r="F6" s="17" t="s">
        <v>163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F5"/>
  <sheetViews>
    <sheetView workbookViewId="0">
      <pane ySplit="3" topLeftCell="A4" activePane="bottomLeft" state="frozen"/>
      <selection pane="bottomLeft" sqref="A1:F1"/>
    </sheetView>
  </sheetViews>
  <sheetFormatPr baseColWidth="10" defaultColWidth="8.88671875" defaultRowHeight="14.4" x14ac:dyDescent="0.3"/>
  <cols>
    <col min="1" max="1" width="27.77734375" customWidth="1"/>
    <col min="2" max="2" width="22" customWidth="1"/>
    <col min="3" max="3" width="9" customWidth="1"/>
    <col min="4" max="4" width="50.6640625" customWidth="1"/>
    <col min="5" max="5" width="81.44140625" customWidth="1"/>
    <col min="6" max="6" width="22" customWidth="1"/>
  </cols>
  <sheetData>
    <row r="1" spans="1:6" ht="28.05" customHeight="1" x14ac:dyDescent="0.3">
      <c r="A1" s="30" t="s">
        <v>165</v>
      </c>
      <c r="B1" s="19"/>
      <c r="C1" s="19"/>
      <c r="D1" s="19"/>
      <c r="E1" s="19"/>
      <c r="F1" s="19"/>
    </row>
    <row r="2" spans="1:6" ht="40.049999999999997" customHeight="1" x14ac:dyDescent="0.3">
      <c r="A2" s="29" t="s">
        <v>47</v>
      </c>
      <c r="B2" s="19"/>
      <c r="C2" s="19"/>
      <c r="D2" s="19"/>
      <c r="E2" s="19"/>
      <c r="F2" s="19"/>
    </row>
    <row r="3" spans="1:6" ht="18" customHeight="1" x14ac:dyDescent="0.3">
      <c r="A3" s="5" t="s">
        <v>56</v>
      </c>
      <c r="B3" s="5" t="s">
        <v>57</v>
      </c>
      <c r="C3" s="5" t="s">
        <v>58</v>
      </c>
      <c r="D3" s="5" t="s">
        <v>59</v>
      </c>
      <c r="E3" s="5" t="s">
        <v>2</v>
      </c>
      <c r="F3" s="5" t="s">
        <v>60</v>
      </c>
    </row>
    <row r="4" spans="1:6" ht="22.05" customHeight="1" x14ac:dyDescent="0.3">
      <c r="A4" s="6" t="s">
        <v>135</v>
      </c>
      <c r="B4" s="7" t="s">
        <v>102</v>
      </c>
      <c r="C4" s="7" t="s">
        <v>63</v>
      </c>
      <c r="D4" s="8" t="s">
        <v>166</v>
      </c>
      <c r="E4" s="9" t="s">
        <v>167</v>
      </c>
      <c r="F4" s="9" t="s">
        <v>135</v>
      </c>
    </row>
    <row r="5" spans="1:6" ht="22.05" customHeight="1" x14ac:dyDescent="0.3">
      <c r="A5" s="6" t="s">
        <v>122</v>
      </c>
      <c r="B5" s="7" t="s">
        <v>102</v>
      </c>
      <c r="C5" s="7" t="s">
        <v>63</v>
      </c>
      <c r="D5" s="8" t="s">
        <v>161</v>
      </c>
      <c r="E5" s="9" t="s">
        <v>168</v>
      </c>
      <c r="F5" s="9" t="s">
        <v>122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DATA DICTIONARY</vt:lpstr>
      <vt:lpstr>FACULTIES</vt:lpstr>
      <vt:lpstr>ROLES</vt:lpstr>
      <vt:lpstr>BUILDINGS</vt:lpstr>
      <vt:lpstr>SCHEDULES</vt:lpstr>
      <vt:lpstr>PROGRAMS</vt:lpstr>
      <vt:lpstr>CLASSROOMS</vt:lpstr>
      <vt:lpstr>COURSES</vt:lpstr>
      <vt:lpstr>USERS</vt:lpstr>
      <vt:lpstr>COURSE_OFFERINGS</vt:lpstr>
      <vt:lpstr>PROGRAMS_COURSES</vt:lpstr>
      <vt:lpstr>PROGRAMS_STUDENTS</vt:lpstr>
      <vt:lpstr>ENROLLMENTS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YEINNER SEBASTIAN SANCHEZ SUAREZ</cp:lastModifiedBy>
  <dcterms:created xsi:type="dcterms:W3CDTF">2026-05-12T03:52:26Z</dcterms:created>
  <dcterms:modified xsi:type="dcterms:W3CDTF">2026-05-12T04:04:43Z</dcterms:modified>
</cp:coreProperties>
</file>